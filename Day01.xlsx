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anshri\Downloads\"/>
    </mc:Choice>
  </mc:AlternateContent>
  <xr:revisionPtr revIDLastSave="0" documentId="8_{B5723E06-B687-4264-9560-77902BF4D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  <sheet name="KPI_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4" i="1"/>
  <c r="G21" i="1"/>
  <c r="L3" i="1"/>
  <c r="L4" i="1"/>
  <c r="L5" i="1"/>
  <c r="L6" i="1"/>
  <c r="L7" i="1"/>
  <c r="L8" i="1"/>
  <c r="L9" i="1"/>
  <c r="L10" i="1"/>
  <c r="L11" i="1"/>
  <c r="O11" i="1"/>
  <c r="O10" i="1"/>
  <c r="O9" i="1"/>
  <c r="O8" i="1"/>
  <c r="O7" i="1"/>
  <c r="O6" i="1"/>
  <c r="O5" i="1"/>
  <c r="O4" i="1"/>
  <c r="O3" i="1"/>
  <c r="O2" i="1"/>
  <c r="F27" i="1"/>
  <c r="F24" i="1"/>
  <c r="F21" i="1"/>
  <c r="F18" i="1"/>
  <c r="D33" i="1"/>
  <c r="D30" i="1"/>
  <c r="D27" i="1"/>
  <c r="D19" i="1" a="1"/>
  <c r="D19" i="1" s="1"/>
  <c r="D18" i="1"/>
  <c r="C34" i="1"/>
  <c r="C31" i="1"/>
  <c r="C23" i="1" a="1"/>
  <c r="C23" i="1" s="1"/>
  <c r="C22" i="1"/>
  <c r="C18" i="1"/>
  <c r="C19" i="1"/>
  <c r="B7" i="2"/>
  <c r="B6" i="2"/>
  <c r="B5" i="2"/>
  <c r="B4" i="2"/>
  <c r="B3" i="2"/>
  <c r="B2" i="2"/>
  <c r="A23" i="1"/>
  <c r="A26" i="1"/>
  <c r="A20" i="1"/>
  <c r="A17" i="1"/>
  <c r="A14" i="1"/>
  <c r="N11" i="1"/>
  <c r="M11" i="1"/>
  <c r="K11" i="1"/>
  <c r="N10" i="1"/>
  <c r="M10" i="1"/>
  <c r="K10" i="1"/>
  <c r="N9" i="1"/>
  <c r="M9" i="1"/>
  <c r="K9" i="1"/>
  <c r="N8" i="1"/>
  <c r="M8" i="1"/>
  <c r="K8" i="1"/>
  <c r="N7" i="1"/>
  <c r="M7" i="1"/>
  <c r="K7" i="1"/>
  <c r="N6" i="1"/>
  <c r="M6" i="1"/>
  <c r="K6" i="1"/>
  <c r="N5" i="1"/>
  <c r="M5" i="1"/>
  <c r="K5" i="1"/>
  <c r="N4" i="1"/>
  <c r="M4" i="1"/>
  <c r="K4" i="1"/>
  <c r="N3" i="1"/>
  <c r="M3" i="1"/>
  <c r="K3" i="1"/>
  <c r="N2" i="1"/>
  <c r="M2" i="1"/>
  <c r="K2" i="1"/>
  <c r="L15" i="1" a="1"/>
  <c r="L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<sst xmlns="http://schemas.openxmlformats.org/spreadsheetml/2006/main" count="121" uniqueCount="96">
  <si>
    <t>Order_ID</t>
  </si>
  <si>
    <t>Customer_Name</t>
  </si>
  <si>
    <t>City</t>
  </si>
  <si>
    <t>Product</t>
  </si>
  <si>
    <t>Category</t>
  </si>
  <si>
    <t>Quantity</t>
  </si>
  <si>
    <t>Sales</t>
  </si>
  <si>
    <t>Profit</t>
  </si>
  <si>
    <t>Order_Date</t>
  </si>
  <si>
    <t>Salesperson</t>
  </si>
  <si>
    <t>Clean_City</t>
  </si>
  <si>
    <t>Clean_Name</t>
  </si>
  <si>
    <t>Sales_Status</t>
  </si>
  <si>
    <t>Region_VLOOKUP</t>
  </si>
  <si>
    <t>Region_XLOOKUP</t>
  </si>
  <si>
    <t>Region</t>
  </si>
  <si>
    <t>rahul sharma</t>
  </si>
  <si>
    <t>kolkata</t>
  </si>
  <si>
    <t>Laptop</t>
  </si>
  <si>
    <t>Electronics</t>
  </si>
  <si>
    <t>01-01-2026</t>
  </si>
  <si>
    <t>Amit</t>
  </si>
  <si>
    <t>East</t>
  </si>
  <si>
    <t>PRIYA SEN</t>
  </si>
  <si>
    <t>Delhi</t>
  </si>
  <si>
    <t>Mobile</t>
  </si>
  <si>
    <t>02-01-2026</t>
  </si>
  <si>
    <t>Suman</t>
  </si>
  <si>
    <t>Ravi</t>
  </si>
  <si>
    <t>West</t>
  </si>
  <si>
    <t>Amit Das</t>
  </si>
  <si>
    <t>mumbai</t>
  </si>
  <si>
    <t>Chair</t>
  </si>
  <si>
    <t>Furniture</t>
  </si>
  <si>
    <t>03-01-2026</t>
  </si>
  <si>
    <t>South</t>
  </si>
  <si>
    <t>Sneha Roy</t>
  </si>
  <si>
    <t>Kolkata</t>
  </si>
  <si>
    <t>Table</t>
  </si>
  <si>
    <t>04-01-2026</t>
  </si>
  <si>
    <t>Rahul Sharma</t>
  </si>
  <si>
    <t>Arjun Pal</t>
  </si>
  <si>
    <t>Chennai</t>
  </si>
  <si>
    <t>AC</t>
  </si>
  <si>
    <t>05-01-2026</t>
  </si>
  <si>
    <t>Meena K</t>
  </si>
  <si>
    <t>Bangalore</t>
  </si>
  <si>
    <t>Sofa</t>
  </si>
  <si>
    <t>06-01-2026</t>
  </si>
  <si>
    <t>Riya Dey</t>
  </si>
  <si>
    <t>07-01-2026</t>
  </si>
  <si>
    <t>Karan Jain</t>
  </si>
  <si>
    <t>Mumbai</t>
  </si>
  <si>
    <t>Bed</t>
  </si>
  <si>
    <t>08-01-2026</t>
  </si>
  <si>
    <t>Sunil Roy</t>
  </si>
  <si>
    <t>TV</t>
  </si>
  <si>
    <t>09-01-2026</t>
  </si>
  <si>
    <t>KPI</t>
  </si>
  <si>
    <t>Formula</t>
  </si>
  <si>
    <t>Total Sales</t>
  </si>
  <si>
    <t>Total Profit</t>
  </si>
  <si>
    <t>Average Sales</t>
  </si>
  <si>
    <t>Highest Sales</t>
  </si>
  <si>
    <t>Lowest Sales</t>
  </si>
  <si>
    <t>Total Orders</t>
  </si>
  <si>
    <t>PROPER()</t>
  </si>
  <si>
    <t>TRIM()</t>
  </si>
  <si>
    <t>Rahul      Sharma</t>
  </si>
  <si>
    <t>UPPER()</t>
  </si>
  <si>
    <t>LOWER()</t>
  </si>
  <si>
    <t>LEN()</t>
  </si>
  <si>
    <t>Advanced Text Cleaning Formulas</t>
  </si>
  <si>
    <t xml:space="preserve">Logical Formulas </t>
  </si>
  <si>
    <t>IF ()</t>
  </si>
  <si>
    <t>NESTED IF ()</t>
  </si>
  <si>
    <t>AND ()</t>
  </si>
  <si>
    <t>OR ()</t>
  </si>
  <si>
    <t>Text Combination Formula</t>
  </si>
  <si>
    <t>Concatenation</t>
  </si>
  <si>
    <t>LEFT()</t>
  </si>
  <si>
    <t>RIGHT()</t>
  </si>
  <si>
    <t>MID()</t>
  </si>
  <si>
    <t>DATE FUNCTIONS</t>
  </si>
  <si>
    <t>YEAR()</t>
  </si>
  <si>
    <t>MONTH()</t>
  </si>
  <si>
    <t>DAY()</t>
  </si>
  <si>
    <t>TODAY()</t>
  </si>
  <si>
    <t>VLOOKUP()</t>
  </si>
  <si>
    <t>XLOOKUP()</t>
  </si>
  <si>
    <t>HLOOKUP()</t>
  </si>
  <si>
    <t>Conditional Formating</t>
  </si>
  <si>
    <t>Duplicate Values</t>
  </si>
  <si>
    <t>Color Scales</t>
  </si>
  <si>
    <t>Data Bars</t>
  </si>
  <si>
    <t>Clean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</si>
</sst>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783F04"/>
        <bgColor rgb="FF783F04"/>
      </patternFill>
    </fill>
    <fill>
      <patternFill patternType="solid">
        <fgColor rgb="FF134F5C"/>
        <bgColor rgb="FF134F5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1" xfId="0" applyFont="1" applyFill="1" applyBorder="1"/>
    <xf numFmtId="0" fontId="0" fillId="7" borderId="1" xfId="0" applyFont="1" applyFill="1" applyBorder="1"/>
    <xf numFmtId="0" fontId="2" fillId="0" borderId="0" xfId="0" applyFont="1"/>
    <xf numFmtId="14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J12">
  <autoFilter ref="A1:J12" xr:uid="{00000000-0009-0000-0100-000001000000}"/>
  <tableColumns count="10">
    <tableColumn id="1" xr3:uid="{00000000-0010-0000-0000-000001000000}" name="Order_ID"/>
    <tableColumn id="2" xr3:uid="{00000000-0010-0000-0000-000002000000}" name="Customer_Name"/>
    <tableColumn id="3" xr3:uid="{00000000-0010-0000-0000-000003000000}" name="City"/>
    <tableColumn id="4" xr3:uid="{00000000-0010-0000-0000-000004000000}" name="Product"/>
    <tableColumn id="5" xr3:uid="{00000000-0010-0000-0000-000005000000}" name="Category"/>
    <tableColumn id="6" xr3:uid="{00000000-0010-0000-0000-000006000000}" name="Quantity"/>
    <tableColumn id="7" xr3:uid="{00000000-0010-0000-0000-000007000000}" name="Sales"/>
    <tableColumn id="8" xr3:uid="{00000000-0010-0000-0000-000008000000}" name="Profit"/>
    <tableColumn id="9" xr3:uid="{00000000-0010-0000-0000-000009000000}" name="Order_Date"/>
    <tableColumn id="10" xr3:uid="{00000000-0010-0000-0000-00000A000000}" name="Sales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A23" workbookViewId="0">
      <selection activeCell="A31" sqref="A31"/>
    </sheetView>
  </sheetViews>
  <sheetFormatPr defaultRowHeight="14.5" x14ac:dyDescent="0.35"/>
  <cols>
    <col min="1" max="7" width="18" customWidth="1"/>
    <col min="8" max="8" width="21.6328125" customWidth="1"/>
    <col min="9" max="10" width="18" customWidth="1"/>
    <col min="11" max="15" width="22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9" t="s">
        <v>11</v>
      </c>
      <c r="M1" s="2" t="s">
        <v>12</v>
      </c>
      <c r="N1" s="2" t="s">
        <v>13</v>
      </c>
      <c r="O1" s="2" t="s">
        <v>14</v>
      </c>
      <c r="Q1" s="3" t="s">
        <v>9</v>
      </c>
      <c r="R1" s="3" t="s">
        <v>15</v>
      </c>
    </row>
    <row r="2" spans="1:18" x14ac:dyDescent="0.35">
      <c r="A2">
        <v>1001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85000</v>
      </c>
      <c r="H2">
        <v>12000</v>
      </c>
      <c r="I2" t="s">
        <v>20</v>
      </c>
      <c r="J2" t="s">
        <v>21</v>
      </c>
      <c r="K2" t="str">
        <f t="shared" ref="K2:K11" si="0">PROPER(C2)</f>
        <v>Kolkata</v>
      </c>
      <c r="L2" t="s">
        <v>40</v>
      </c>
      <c r="M2" t="str">
        <f t="shared" ref="M2:M11" si="1">IF(G2&gt;50000,"High Sales","Low Sales")</f>
        <v>High Sales</v>
      </c>
      <c r="N2" t="str">
        <f>VLOOKUP(J2,Q2:R4,2,FALSE)</f>
        <v>East</v>
      </c>
      <c r="O2" t="str">
        <f>_xlfn.XLOOKUP(J2,Q2:Q4,R2:R4)</f>
        <v>East</v>
      </c>
      <c r="Q2" t="s">
        <v>21</v>
      </c>
      <c r="R2" t="s">
        <v>22</v>
      </c>
    </row>
    <row r="3" spans="1:18" x14ac:dyDescent="0.35">
      <c r="A3">
        <v>1002</v>
      </c>
      <c r="B3" t="s">
        <v>23</v>
      </c>
      <c r="C3" t="s">
        <v>24</v>
      </c>
      <c r="D3" t="s">
        <v>25</v>
      </c>
      <c r="E3" t="s">
        <v>19</v>
      </c>
      <c r="F3">
        <v>1</v>
      </c>
      <c r="G3">
        <v>25000</v>
      </c>
      <c r="H3">
        <v>5000</v>
      </c>
      <c r="I3" t="s">
        <v>26</v>
      </c>
      <c r="J3" t="s">
        <v>27</v>
      </c>
      <c r="K3" t="str">
        <f t="shared" si="0"/>
        <v>Delhi</v>
      </c>
      <c r="L3" t="str">
        <f t="shared" ref="L2:L11" si="2">TRIM(B3)</f>
        <v>PRIYA SEN</v>
      </c>
      <c r="M3" t="str">
        <f t="shared" si="1"/>
        <v>Low Sales</v>
      </c>
      <c r="N3" t="str">
        <f>VLOOKUP(J3,Q2:R4,2,FALSE)</f>
        <v>South</v>
      </c>
      <c r="O3" t="str">
        <f>_xlfn.XLOOKUP(J3,Q2:Q4,R2:R4)</f>
        <v>South</v>
      </c>
      <c r="Q3" t="s">
        <v>28</v>
      </c>
      <c r="R3" t="s">
        <v>29</v>
      </c>
    </row>
    <row r="4" spans="1:18" x14ac:dyDescent="0.35">
      <c r="A4">
        <v>1003</v>
      </c>
      <c r="B4" t="s">
        <v>30</v>
      </c>
      <c r="C4" t="s">
        <v>31</v>
      </c>
      <c r="D4" t="s">
        <v>32</v>
      </c>
      <c r="E4" t="s">
        <v>33</v>
      </c>
      <c r="F4">
        <v>4</v>
      </c>
      <c r="G4">
        <v>12000</v>
      </c>
      <c r="H4">
        <v>2500</v>
      </c>
      <c r="I4" t="s">
        <v>34</v>
      </c>
      <c r="J4" t="s">
        <v>28</v>
      </c>
      <c r="K4" t="str">
        <f t="shared" si="0"/>
        <v>Mumbai</v>
      </c>
      <c r="L4" t="str">
        <f t="shared" si="2"/>
        <v>Amit Das</v>
      </c>
      <c r="M4" t="str">
        <f t="shared" si="1"/>
        <v>Low Sales</v>
      </c>
      <c r="N4" t="str">
        <f>VLOOKUP(J4,Q2:R4,2,FALSE)</f>
        <v>West</v>
      </c>
      <c r="O4" t="str">
        <f>_xlfn.XLOOKUP(J4,Q2:Q4,R2:R4)</f>
        <v>West</v>
      </c>
      <c r="Q4" t="s">
        <v>27</v>
      </c>
      <c r="R4" t="s">
        <v>35</v>
      </c>
    </row>
    <row r="5" spans="1:18" x14ac:dyDescent="0.35">
      <c r="A5">
        <v>1004</v>
      </c>
      <c r="B5" t="s">
        <v>36</v>
      </c>
      <c r="C5" t="s">
        <v>37</v>
      </c>
      <c r="D5" t="s">
        <v>38</v>
      </c>
      <c r="E5" t="s">
        <v>33</v>
      </c>
      <c r="F5">
        <v>2</v>
      </c>
      <c r="G5">
        <v>18000</v>
      </c>
      <c r="H5">
        <v>4000</v>
      </c>
      <c r="I5" t="s">
        <v>39</v>
      </c>
      <c r="J5" t="s">
        <v>21</v>
      </c>
      <c r="K5" t="str">
        <f t="shared" si="0"/>
        <v>Kolkata</v>
      </c>
      <c r="L5" t="str">
        <f t="shared" si="2"/>
        <v>Sneha Roy</v>
      </c>
      <c r="M5" t="str">
        <f t="shared" si="1"/>
        <v>Low Sales</v>
      </c>
      <c r="N5" t="str">
        <f>VLOOKUP(J5,Q2:R4,2,FALSE)</f>
        <v>East</v>
      </c>
      <c r="O5" t="str">
        <f>_xlfn.XLOOKUP(J5,Q2:Q4,R2:R4)</f>
        <v>East</v>
      </c>
    </row>
    <row r="6" spans="1:18" x14ac:dyDescent="0.35">
      <c r="A6">
        <v>1005</v>
      </c>
      <c r="B6" t="s">
        <v>68</v>
      </c>
      <c r="C6" t="s">
        <v>17</v>
      </c>
      <c r="D6" t="s">
        <v>18</v>
      </c>
      <c r="E6" t="s">
        <v>19</v>
      </c>
      <c r="F6">
        <v>2</v>
      </c>
      <c r="G6">
        <v>85000</v>
      </c>
      <c r="H6">
        <v>12000</v>
      </c>
      <c r="I6" t="s">
        <v>20</v>
      </c>
      <c r="J6" t="s">
        <v>21</v>
      </c>
      <c r="K6" t="str">
        <f t="shared" si="0"/>
        <v>Kolkata</v>
      </c>
      <c r="L6" t="str">
        <f t="shared" si="2"/>
        <v>Rahul Sharma</v>
      </c>
      <c r="M6" t="str">
        <f t="shared" si="1"/>
        <v>High Sales</v>
      </c>
      <c r="N6" t="str">
        <f>VLOOKUP(J6,Q2:R4,2,FALSE)</f>
        <v>East</v>
      </c>
      <c r="O6" t="str">
        <f>_xlfn.XLOOKUP(J6,Q2:Q4,R2:R4)</f>
        <v>East</v>
      </c>
    </row>
    <row r="7" spans="1:18" x14ac:dyDescent="0.35">
      <c r="A7">
        <v>1006</v>
      </c>
      <c r="B7" t="s">
        <v>41</v>
      </c>
      <c r="C7" t="s">
        <v>42</v>
      </c>
      <c r="D7" t="s">
        <v>43</v>
      </c>
      <c r="E7" t="s">
        <v>19</v>
      </c>
      <c r="F7">
        <v>1</v>
      </c>
      <c r="G7">
        <v>40000</v>
      </c>
      <c r="H7">
        <v>7000</v>
      </c>
      <c r="I7" t="s">
        <v>44</v>
      </c>
      <c r="J7" t="s">
        <v>27</v>
      </c>
      <c r="K7" t="str">
        <f t="shared" si="0"/>
        <v>Chennai</v>
      </c>
      <c r="L7" t="str">
        <f t="shared" si="2"/>
        <v>Arjun Pal</v>
      </c>
      <c r="M7" t="str">
        <f t="shared" si="1"/>
        <v>Low Sales</v>
      </c>
      <c r="N7" t="str">
        <f>VLOOKUP(J7,Q2:R4,2,FALSE)</f>
        <v>South</v>
      </c>
      <c r="O7" t="str">
        <f>_xlfn.XLOOKUP(J7,Q2:Q4,R2:R4)</f>
        <v>South</v>
      </c>
    </row>
    <row r="8" spans="1:18" x14ac:dyDescent="0.35">
      <c r="A8">
        <v>1007</v>
      </c>
      <c r="B8" t="s">
        <v>45</v>
      </c>
      <c r="C8" t="s">
        <v>46</v>
      </c>
      <c r="D8" t="s">
        <v>47</v>
      </c>
      <c r="E8" t="s">
        <v>33</v>
      </c>
      <c r="F8">
        <v>1</v>
      </c>
      <c r="G8">
        <v>30000</v>
      </c>
      <c r="H8">
        <v>6000</v>
      </c>
      <c r="I8" t="s">
        <v>48</v>
      </c>
      <c r="J8" t="s">
        <v>28</v>
      </c>
      <c r="K8" t="str">
        <f t="shared" si="0"/>
        <v>Bangalore</v>
      </c>
      <c r="L8" t="str">
        <f t="shared" si="2"/>
        <v>Meena K</v>
      </c>
      <c r="M8" t="str">
        <f t="shared" si="1"/>
        <v>Low Sales</v>
      </c>
      <c r="N8" t="str">
        <f>VLOOKUP(J8,Q2:R4,2,FALSE)</f>
        <v>West</v>
      </c>
      <c r="O8" t="str">
        <f>_xlfn.XLOOKUP(J8,Q2:Q4,R2:R4)</f>
        <v>West</v>
      </c>
    </row>
    <row r="9" spans="1:18" x14ac:dyDescent="0.35">
      <c r="A9">
        <v>1008</v>
      </c>
      <c r="B9" t="s">
        <v>49</v>
      </c>
      <c r="C9" t="s">
        <v>24</v>
      </c>
      <c r="D9" t="s">
        <v>25</v>
      </c>
      <c r="E9" t="s">
        <v>19</v>
      </c>
      <c r="F9">
        <v>3</v>
      </c>
      <c r="G9">
        <v>75000</v>
      </c>
      <c r="H9">
        <v>15000</v>
      </c>
      <c r="I9" t="s">
        <v>50</v>
      </c>
      <c r="J9" t="s">
        <v>21</v>
      </c>
      <c r="K9" t="str">
        <f t="shared" si="0"/>
        <v>Delhi</v>
      </c>
      <c r="L9" t="str">
        <f t="shared" si="2"/>
        <v>Riya Dey</v>
      </c>
      <c r="M9" t="str">
        <f t="shared" si="1"/>
        <v>High Sales</v>
      </c>
      <c r="N9" t="str">
        <f>VLOOKUP(J9,Q2:R4,2,FALSE)</f>
        <v>East</v>
      </c>
      <c r="O9" t="str">
        <f>_xlfn.XLOOKUP(J9,Q2:Q4,R2:R4)</f>
        <v>East</v>
      </c>
    </row>
    <row r="10" spans="1:18" x14ac:dyDescent="0.35">
      <c r="A10">
        <v>1009</v>
      </c>
      <c r="B10" t="s">
        <v>51</v>
      </c>
      <c r="C10" t="s">
        <v>52</v>
      </c>
      <c r="D10" t="s">
        <v>53</v>
      </c>
      <c r="E10" t="s">
        <v>33</v>
      </c>
      <c r="F10">
        <v>1</v>
      </c>
      <c r="G10">
        <v>22000</v>
      </c>
      <c r="H10">
        <v>3500</v>
      </c>
      <c r="I10" t="s">
        <v>54</v>
      </c>
      <c r="J10" t="s">
        <v>28</v>
      </c>
      <c r="K10" t="str">
        <f t="shared" si="0"/>
        <v>Mumbai</v>
      </c>
      <c r="L10" t="str">
        <f t="shared" si="2"/>
        <v>Karan Jain</v>
      </c>
      <c r="M10" t="str">
        <f t="shared" si="1"/>
        <v>Low Sales</v>
      </c>
      <c r="N10" t="str">
        <f>VLOOKUP(J10,Q2:R4,2,FALSE)</f>
        <v>West</v>
      </c>
      <c r="O10" t="str">
        <f>_xlfn.XLOOKUP(J10,Q2:Q4,R2:R4)</f>
        <v>West</v>
      </c>
    </row>
    <row r="11" spans="1:18" x14ac:dyDescent="0.35">
      <c r="A11">
        <v>1010</v>
      </c>
      <c r="B11" t="s">
        <v>55</v>
      </c>
      <c r="C11" t="s">
        <v>37</v>
      </c>
      <c r="D11" t="s">
        <v>56</v>
      </c>
      <c r="E11" t="s">
        <v>19</v>
      </c>
      <c r="F11">
        <v>2</v>
      </c>
      <c r="G11">
        <v>65000</v>
      </c>
      <c r="H11">
        <v>10000</v>
      </c>
      <c r="I11" t="s">
        <v>57</v>
      </c>
      <c r="J11" t="s">
        <v>27</v>
      </c>
      <c r="K11" t="str">
        <f t="shared" si="0"/>
        <v>Kolkata</v>
      </c>
      <c r="L11" t="str">
        <f t="shared" si="2"/>
        <v>Sunil Roy</v>
      </c>
      <c r="M11" t="str">
        <f t="shared" si="1"/>
        <v>High Sales</v>
      </c>
      <c r="N11" t="str">
        <f>VLOOKUP(J11,Q2:R4,2,FALSE)</f>
        <v>South</v>
      </c>
      <c r="O11" t="str">
        <f>_xlfn.XLOOKUP(J11,Q2:Q4,R2:R4)</f>
        <v>South</v>
      </c>
    </row>
    <row r="12" spans="1:18" x14ac:dyDescent="0.35">
      <c r="A12" s="7" t="s">
        <v>72</v>
      </c>
    </row>
    <row r="13" spans="1:18" x14ac:dyDescent="0.35">
      <c r="A13" s="7" t="s">
        <v>66</v>
      </c>
    </row>
    <row r="14" spans="1:18" x14ac:dyDescent="0.35">
      <c r="A14" t="str">
        <f>PROPER(B2)</f>
        <v>Rahul Sharma</v>
      </c>
      <c r="L14" s="7" t="s">
        <v>95</v>
      </c>
    </row>
    <row r="15" spans="1:18" x14ac:dyDescent="0.35">
      <c r="L15" t="str" cm="1">
        <f t="array" ref="L15:L24">PROPER(L2:L11)</f>
        <v>Rahul Sharma</v>
      </c>
    </row>
    <row r="16" spans="1:18" x14ac:dyDescent="0.35">
      <c r="A16" s="7" t="s">
        <v>67</v>
      </c>
      <c r="C16" s="7" t="s">
        <v>73</v>
      </c>
      <c r="D16" s="7" t="s">
        <v>78</v>
      </c>
      <c r="F16" s="7" t="s">
        <v>83</v>
      </c>
      <c r="G16" s="7" t="s">
        <v>88</v>
      </c>
      <c r="H16" s="7" t="s">
        <v>91</v>
      </c>
      <c r="I16" s="7" t="s">
        <v>92</v>
      </c>
      <c r="J16" s="7" t="s">
        <v>93</v>
      </c>
      <c r="K16" s="7" t="s">
        <v>94</v>
      </c>
      <c r="L16" t="str">
        <v>Priya Sen</v>
      </c>
    </row>
    <row r="17" spans="1:12" x14ac:dyDescent="0.35">
      <c r="A17" t="str">
        <f>TRIM(B6)</f>
        <v>Rahul Sharma</v>
      </c>
      <c r="C17" s="7" t="s">
        <v>74</v>
      </c>
      <c r="D17" s="7" t="s">
        <v>79</v>
      </c>
      <c r="F17" s="7" t="s">
        <v>84</v>
      </c>
      <c r="G17" t="str">
        <f>VLOOKUP(J2,Q2:R4,2,FALSE)</f>
        <v>East</v>
      </c>
      <c r="H17" s="5">
        <v>85000</v>
      </c>
      <c r="I17" s="5">
        <v>85000</v>
      </c>
      <c r="J17" s="5">
        <v>85000</v>
      </c>
      <c r="K17" s="5">
        <v>85000</v>
      </c>
      <c r="L17" t="str">
        <v>Amit Das</v>
      </c>
    </row>
    <row r="18" spans="1:12" x14ac:dyDescent="0.35">
      <c r="C18" t="str">
        <f>IF(G2 &gt; 50000, "High Sales","Low Sales")</f>
        <v>High Sales</v>
      </c>
      <c r="D18" t="str">
        <f>B2&amp;"-"&amp;C2</f>
        <v>rahul sharma-kolkata</v>
      </c>
      <c r="F18">
        <f>YEAR(I2)</f>
        <v>2026</v>
      </c>
      <c r="G18" t="str">
        <f>VLOOKUP(J2,Q2:R4,2,FALSE)</f>
        <v>East</v>
      </c>
      <c r="H18" s="6">
        <v>25000</v>
      </c>
      <c r="I18" s="6">
        <v>25000</v>
      </c>
      <c r="J18" s="6">
        <v>25000</v>
      </c>
      <c r="K18" s="6">
        <v>25000</v>
      </c>
      <c r="L18" t="str">
        <v>Sneha Roy</v>
      </c>
    </row>
    <row r="19" spans="1:12" x14ac:dyDescent="0.35">
      <c r="A19" s="7" t="s">
        <v>69</v>
      </c>
      <c r="C19" t="str">
        <f>IF(G1 &gt; 50000, "High Sales","Low Sales")</f>
        <v>High Sales</v>
      </c>
      <c r="D19" t="str" cm="1">
        <f t="array" ref="D19:D24">B2:B7&amp;"-"&amp;C2:C7</f>
        <v>rahul sharma-kolkata</v>
      </c>
      <c r="H19" s="5">
        <v>12000</v>
      </c>
      <c r="I19" s="5">
        <v>12000</v>
      </c>
      <c r="J19" s="5">
        <v>12000</v>
      </c>
      <c r="K19" s="5">
        <v>12000</v>
      </c>
      <c r="L19" t="str">
        <v>Rahul Sharma</v>
      </c>
    </row>
    <row r="20" spans="1:12" x14ac:dyDescent="0.35">
      <c r="A20" t="str">
        <f>UPPER(B2)</f>
        <v>RAHUL SHARMA</v>
      </c>
      <c r="D20" t="str">
        <v>PRIYA SEN-Delhi</v>
      </c>
      <c r="F20" s="7" t="s">
        <v>85</v>
      </c>
      <c r="G20" s="7" t="s">
        <v>89</v>
      </c>
      <c r="H20" s="6">
        <v>18000</v>
      </c>
      <c r="I20" s="6">
        <v>18000</v>
      </c>
      <c r="J20" s="6">
        <v>18000</v>
      </c>
      <c r="K20" s="6">
        <v>18000</v>
      </c>
      <c r="L20" t="str">
        <v>Arjun Pal</v>
      </c>
    </row>
    <row r="21" spans="1:12" x14ac:dyDescent="0.35">
      <c r="C21" s="7" t="s">
        <v>75</v>
      </c>
      <c r="D21" t="str">
        <v>Amit Das-mumbai</v>
      </c>
      <c r="F21">
        <f>MONTH(I2)</f>
        <v>1</v>
      </c>
      <c r="G21" t="str">
        <f>_xlfn.XLOOKUP(J2,Q2:Q4,R2:R4)</f>
        <v>East</v>
      </c>
      <c r="H21" s="5">
        <v>85000</v>
      </c>
      <c r="I21" s="5">
        <v>85000</v>
      </c>
      <c r="J21" s="5">
        <v>85000</v>
      </c>
      <c r="K21" s="5">
        <v>85000</v>
      </c>
      <c r="L21" t="str">
        <v>Meena K</v>
      </c>
    </row>
    <row r="22" spans="1:12" x14ac:dyDescent="0.35">
      <c r="A22" s="7" t="s">
        <v>70</v>
      </c>
      <c r="C22" t="str">
        <f>IF(G2&gt;70000,"Excellent",IF(G2&gt;30000,"Good","Average"))</f>
        <v>Excellent</v>
      </c>
      <c r="D22" t="str">
        <v>Sneha Roy-Kolkata</v>
      </c>
      <c r="H22" s="6">
        <v>40000</v>
      </c>
      <c r="I22" s="6">
        <v>40000</v>
      </c>
      <c r="J22" s="6">
        <v>40000</v>
      </c>
      <c r="K22" s="6">
        <v>40000</v>
      </c>
      <c r="L22" t="str">
        <v>Riya Dey</v>
      </c>
    </row>
    <row r="23" spans="1:12" x14ac:dyDescent="0.35">
      <c r="A23" t="str">
        <f>LOWER(B10)</f>
        <v>karan jain</v>
      </c>
      <c r="C23" t="str" cm="1">
        <f t="array" ref="C23:C28">IF(G2:G7&gt;70000,"Excellent", IF(G2:G7&gt;30000,"Good","Average"))</f>
        <v>Excellent</v>
      </c>
      <c r="D23" t="str">
        <v>Rahul      Sharma-kolkata</v>
      </c>
      <c r="F23" s="7" t="s">
        <v>86</v>
      </c>
      <c r="G23" s="7" t="s">
        <v>90</v>
      </c>
      <c r="H23" s="5">
        <v>30000</v>
      </c>
      <c r="I23" s="5">
        <v>30000</v>
      </c>
      <c r="J23" s="5">
        <v>30000</v>
      </c>
      <c r="K23" s="5">
        <v>30000</v>
      </c>
      <c r="L23" t="str">
        <v>Karan Jain</v>
      </c>
    </row>
    <row r="24" spans="1:12" x14ac:dyDescent="0.35">
      <c r="C24" t="str">
        <v>Average</v>
      </c>
      <c r="D24" t="str">
        <v>Arjun Pal-Chennai</v>
      </c>
      <c r="F24">
        <f>DAY(I2)</f>
        <v>1</v>
      </c>
      <c r="G24" t="str">
        <f>HLOOKUP(J2,Q2:R4,2,FALSE)</f>
        <v>Ravi</v>
      </c>
      <c r="H24" s="6">
        <v>75000</v>
      </c>
      <c r="I24" s="6">
        <v>75000</v>
      </c>
      <c r="J24" s="6">
        <v>75000</v>
      </c>
      <c r="K24" s="6">
        <v>75000</v>
      </c>
      <c r="L24" t="str">
        <v>Sunil Roy</v>
      </c>
    </row>
    <row r="25" spans="1:12" x14ac:dyDescent="0.35">
      <c r="A25" s="7" t="s">
        <v>71</v>
      </c>
      <c r="C25" t="str">
        <v>Average</v>
      </c>
      <c r="H25" s="5">
        <v>22000</v>
      </c>
      <c r="I25" s="5">
        <v>22000</v>
      </c>
      <c r="J25" s="5">
        <v>22000</v>
      </c>
      <c r="K25" s="5">
        <v>22000</v>
      </c>
    </row>
    <row r="26" spans="1:12" x14ac:dyDescent="0.35">
      <c r="A26">
        <f>LEN(B8)</f>
        <v>7</v>
      </c>
      <c r="C26" t="str">
        <v>Average</v>
      </c>
      <c r="D26" s="7" t="s">
        <v>80</v>
      </c>
      <c r="F26" s="7" t="s">
        <v>87</v>
      </c>
      <c r="H26" s="6">
        <v>65000</v>
      </c>
      <c r="I26" s="6">
        <v>65000</v>
      </c>
      <c r="J26" s="6">
        <v>65000</v>
      </c>
      <c r="K26" s="6">
        <v>65000</v>
      </c>
    </row>
    <row r="27" spans="1:12" x14ac:dyDescent="0.35">
      <c r="C27" t="str">
        <v>Excellent</v>
      </c>
      <c r="D27" t="str">
        <f>LEFT(D2,3)</f>
        <v>Lap</v>
      </c>
      <c r="F27" s="8">
        <f ca="1">TODAY()</f>
        <v>46151</v>
      </c>
    </row>
    <row r="28" spans="1:12" x14ac:dyDescent="0.35">
      <c r="C28" t="str">
        <v>Good</v>
      </c>
    </row>
    <row r="29" spans="1:12" x14ac:dyDescent="0.35">
      <c r="D29" s="7" t="s">
        <v>81</v>
      </c>
    </row>
    <row r="30" spans="1:12" x14ac:dyDescent="0.35">
      <c r="C30" s="7" t="s">
        <v>76</v>
      </c>
      <c r="D30" t="str">
        <f>RIGHT(D2,2)</f>
        <v>op</v>
      </c>
    </row>
    <row r="31" spans="1:12" x14ac:dyDescent="0.35">
      <c r="C31" t="str">
        <f>IF(AND(G2&gt;50000,H2&gt;10000),"Top Order","Normal")</f>
        <v>Top Order</v>
      </c>
    </row>
    <row r="32" spans="1:12" x14ac:dyDescent="0.35">
      <c r="D32" s="7" t="s">
        <v>82</v>
      </c>
    </row>
    <row r="33" spans="3:4" x14ac:dyDescent="0.35">
      <c r="C33" s="7" t="s">
        <v>77</v>
      </c>
      <c r="D33" t="str">
        <f>MID(D2,2,3)</f>
        <v>apt</v>
      </c>
    </row>
    <row r="34" spans="3:4" x14ac:dyDescent="0.35">
      <c r="C34" t="str">
        <f>IF(OR(G2&gt;70000, H2&gt;10000),"Priority","Normal")</f>
        <v>Priority</v>
      </c>
    </row>
  </sheetData>
  <conditionalFormatting sqref="G2:G12">
    <cfRule type="cellIs" dxfId="6" priority="9" operator="greaterThan">
      <formula>50000</formula>
    </cfRule>
  </conditionalFormatting>
  <conditionalFormatting sqref="H17:H26">
    <cfRule type="cellIs" dxfId="5" priority="8" operator="greaterThan">
      <formula>50000</formula>
    </cfRule>
  </conditionalFormatting>
  <conditionalFormatting sqref="I17:I26">
    <cfRule type="duplicateValues" dxfId="4" priority="6"/>
    <cfRule type="cellIs" dxfId="3" priority="7" operator="greaterThan">
      <formula>50000</formula>
    </cfRule>
  </conditionalFormatting>
  <conditionalFormatting sqref="J17:J2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2" priority="5" operator="greaterThan">
      <formula>50000</formula>
    </cfRule>
  </conditionalFormatting>
  <conditionalFormatting sqref="K17:K2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{79983F65-EE9B-41D4-BB1D-5D984BDC94CE}</x14:id>
        </ext>
      </extLst>
    </cfRule>
    <cfRule type="cellIs" dxfId="1" priority="3" operator="greaterThan">
      <formula>50000</formula>
    </cfRule>
  </conditionalFormatting>
  <conditionalFormatting sqref="I30">
    <cfRule type="cellIs" dxfId="0" priority="2" operator="greaterThan">
      <formula>50000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83F65-EE9B-41D4-BB1D-5D984BDC94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K17:K26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2" width="25" customWidth="1"/>
  </cols>
  <sheetData>
    <row r="1" spans="1:2" x14ac:dyDescent="0.35">
      <c r="A1" s="4" t="s">
        <v>58</v>
      </c>
      <c r="B1" s="4" t="s">
        <v>59</v>
      </c>
    </row>
    <row r="2" spans="1:2" x14ac:dyDescent="0.35">
      <c r="A2" t="s">
        <v>60</v>
      </c>
      <c r="B2">
        <f>SUM(Sales_Data!G2:G12)</f>
        <v>457000</v>
      </c>
    </row>
    <row r="3" spans="1:2" x14ac:dyDescent="0.35">
      <c r="A3" t="s">
        <v>61</v>
      </c>
      <c r="B3">
        <f>SUM(Sales_Data!H2:H12)</f>
        <v>77000</v>
      </c>
    </row>
    <row r="4" spans="1:2" x14ac:dyDescent="0.35">
      <c r="A4" t="s">
        <v>62</v>
      </c>
      <c r="B4">
        <f>AVERAGE(Sales_Data!G2:G12)</f>
        <v>45700</v>
      </c>
    </row>
    <row r="5" spans="1:2" x14ac:dyDescent="0.35">
      <c r="A5" t="s">
        <v>63</v>
      </c>
      <c r="B5">
        <f>MAX(Sales_Data!G2:G12)</f>
        <v>85000</v>
      </c>
    </row>
    <row r="6" spans="1:2" x14ac:dyDescent="0.35">
      <c r="A6" t="s">
        <v>64</v>
      </c>
      <c r="B6">
        <f>MIN(Sales_Data!G2:G12)</f>
        <v>12000</v>
      </c>
    </row>
    <row r="7" spans="1:2" x14ac:dyDescent="0.35">
      <c r="A7" t="s">
        <v>65</v>
      </c>
      <c r="B7">
        <f>COUNT(Sales_Data!A2:A12)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Dhanshri Bhavsar</cp:lastModifiedBy>
  <dcterms:created xsi:type="dcterms:W3CDTF">2026-05-07T15:29:25Z</dcterms:created>
  <dcterms:modified xsi:type="dcterms:W3CDTF">2026-05-09T16:53:15Z</dcterms:modified>
</cp:coreProperties>
</file>